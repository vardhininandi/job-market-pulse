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2.xml" ContentType="application/vnd.openxmlformats-officedocument.spreadsheetml.pivot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40f44d5b4cdb4a3/Desktop/job-market-pulse/excel/"/>
    </mc:Choice>
  </mc:AlternateContent>
  <xr:revisionPtr revIDLastSave="208" documentId="8_{65BC15CC-092F-4A4D-B792-BE9C6ECF5550}" xr6:coauthVersionLast="47" xr6:coauthVersionMax="47" xr10:uidLastSave="{711DD1D6-5FD2-480B-8F7D-090902BB0878}"/>
  <bookViews>
    <workbookView xWindow="-108" yWindow="-108" windowWidth="23256" windowHeight="12456" xr2:uid="{205B6D55-3F53-42DF-808E-8C5DE90F1B03}"/>
  </bookViews>
  <sheets>
    <sheet name="Summary" sheetId="12" r:id="rId1"/>
    <sheet name="Pivot_Salary" sheetId="7" r:id="rId2"/>
    <sheet name="salary_by_experience" sheetId="2" r:id="rId3"/>
    <sheet name="salary_by_location" sheetId="3" r:id="rId4"/>
    <sheet name="Pivot_Companies" sheetId="11" r:id="rId5"/>
    <sheet name="top_companies" sheetId="4" r:id="rId6"/>
    <sheet name="top_job_titles" sheetId="5" r:id="rId7"/>
    <sheet name="worktype_by_experience" sheetId="6" r:id="rId8"/>
    <sheet name="Sheet1" sheetId="1" r:id="rId9"/>
  </sheets>
  <definedNames>
    <definedName name="ExternalData_1" localSheetId="2" hidden="1">salary_by_experience!$A$1:$E$8</definedName>
    <definedName name="ExternalData_1" localSheetId="3" hidden="1">salary_by_location!$A$1:$F$21</definedName>
    <definedName name="ExternalData_1" localSheetId="5" hidden="1">top_companies!$A$1:$C$16</definedName>
    <definedName name="ExternalData_1" localSheetId="6" hidden="1">top_job_titles!$A$1:$C$16</definedName>
    <definedName name="ExternalData_1" localSheetId="7" hidden="1">worktype_by_experience!$A$1:$D$40</definedName>
  </definedNames>
  <calcPr calcId="191029"/>
  <pivotCaches>
    <pivotCache cacheId="3" r:id="rId10"/>
    <pivotCache cacheId="7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DDB23DD-837B-4872-88B7-EDA23FE23147}" keepAlive="1" name="Query - salary_by_experience" description="Connection to the 'salary_by_experience' query in the workbook." type="5" refreshedVersion="8" background="1" saveData="1">
    <dbPr connection="Provider=Microsoft.Mashup.OleDb.1;Data Source=$Workbook$;Location=salary_by_experience;Extended Properties=&quot;&quot;" command="SELECT * FROM [salary_by_experience]"/>
  </connection>
  <connection id="2" xr16:uid="{F63E6531-3133-4FA9-8A25-F852FFC347DB}" keepAlive="1" name="Query - salary_by_location" description="Connection to the 'salary_by_location' query in the workbook." type="5" refreshedVersion="8" background="1" saveData="1">
    <dbPr connection="Provider=Microsoft.Mashup.OleDb.1;Data Source=$Workbook$;Location=salary_by_location;Extended Properties=&quot;&quot;" command="SELECT * FROM [salary_by_location]"/>
  </connection>
  <connection id="3" xr16:uid="{5579CD31-8B2E-4258-8E84-1CB8AF7F746D}" keepAlive="1" name="Query - top_companies" description="Connection to the 'top_companies' query in the workbook." type="5" refreshedVersion="8" background="1" saveData="1">
    <dbPr connection="Provider=Microsoft.Mashup.OleDb.1;Data Source=$Workbook$;Location=top_companies;Extended Properties=&quot;&quot;" command="SELECT * FROM [top_companies]"/>
  </connection>
  <connection id="4" xr16:uid="{42BBC0D4-9005-468E-AE0F-C8080C2592D7}" keepAlive="1" name="Query - top_job_titles" description="Connection to the 'top_job_titles' query in the workbook." type="5" refreshedVersion="8" background="1" saveData="1">
    <dbPr connection="Provider=Microsoft.Mashup.OleDb.1;Data Source=$Workbook$;Location=top_job_titles;Extended Properties=&quot;&quot;" command="SELECT * FROM [top_job_titles]"/>
  </connection>
  <connection id="5" xr16:uid="{058CE593-2F56-45CF-80BB-B7F255B59220}" keepAlive="1" name="Query - worktype_by_experience" description="Connection to the 'worktype_by_experience' query in the workbook." type="5" refreshedVersion="8" background="1" saveData="1">
    <dbPr connection="Provider=Microsoft.Mashup.OleDb.1;Data Source=$Workbook$;Location=worktype_by_experience;Extended Properties=&quot;&quot;" command="SELECT * FROM [worktype_by_experience]"/>
  </connection>
</connections>
</file>

<file path=xl/sharedStrings.xml><?xml version="1.0" encoding="utf-8"?>
<sst xmlns="http://schemas.openxmlformats.org/spreadsheetml/2006/main" count="195" uniqueCount="94">
  <si>
    <t>formatted_experience_level</t>
  </si>
  <si>
    <t>total_postings</t>
  </si>
  <si>
    <t>avg_min_salary</t>
  </si>
  <si>
    <t>avg_max_salary</t>
  </si>
  <si>
    <t>avg_mid_salary</t>
  </si>
  <si>
    <t>Executive</t>
  </si>
  <si>
    <t>Director</t>
  </si>
  <si>
    <t>Mid-Senior level</t>
  </si>
  <si>
    <t>Not Specified</t>
  </si>
  <si>
    <t>Associate</t>
  </si>
  <si>
    <t>Entry level</t>
  </si>
  <si>
    <t>Internship</t>
  </si>
  <si>
    <t>location</t>
  </si>
  <si>
    <t>job_count</t>
  </si>
  <si>
    <t>lowest_salary</t>
  </si>
  <si>
    <t>highest_salary</t>
  </si>
  <si>
    <t>San Mateo, CA</t>
  </si>
  <si>
    <t>Foster City, CA</t>
  </si>
  <si>
    <t>Stockton, CA</t>
  </si>
  <si>
    <t>Rahway, NJ</t>
  </si>
  <si>
    <t>Mountain View, CA</t>
  </si>
  <si>
    <t>Santa Clara, CA</t>
  </si>
  <si>
    <t>Palo Alto, CA</t>
  </si>
  <si>
    <t>Sunnyvale, CA</t>
  </si>
  <si>
    <t>Culver City, CA</t>
  </si>
  <si>
    <t>San Jose, CA</t>
  </si>
  <si>
    <t>Alameda, CA</t>
  </si>
  <si>
    <t>Skillman, NJ</t>
  </si>
  <si>
    <t>Pleasanton, CA</t>
  </si>
  <si>
    <t>Bellevue, WA</t>
  </si>
  <si>
    <t>Greater Sacramento</t>
  </si>
  <si>
    <t>San Francisco Bay Area</t>
  </si>
  <si>
    <t>Burbank, CA</t>
  </si>
  <si>
    <t>Kirkland, WA</t>
  </si>
  <si>
    <t>Redmond, WA</t>
  </si>
  <si>
    <t>Reston, VA</t>
  </si>
  <si>
    <t>company_name</t>
  </si>
  <si>
    <t>full_time_postings</t>
  </si>
  <si>
    <t>Liberty Healthcare and Rehabilitation Services</t>
  </si>
  <si>
    <t>The Job Network</t>
  </si>
  <si>
    <t>J. Galt</t>
  </si>
  <si>
    <t>TEKsystems</t>
  </si>
  <si>
    <t>Lowe's Companies, Inc.</t>
  </si>
  <si>
    <t>Ingersoll Rand</t>
  </si>
  <si>
    <t>Capital One</t>
  </si>
  <si>
    <t>Cogent Communications</t>
  </si>
  <si>
    <t>Insight Global</t>
  </si>
  <si>
    <t>Dice</t>
  </si>
  <si>
    <t>Wells Fargo</t>
  </si>
  <si>
    <t>Circle K</t>
  </si>
  <si>
    <t>Amazon</t>
  </si>
  <si>
    <t>Macy's</t>
  </si>
  <si>
    <t>Millennium Recruiting, Inc.</t>
  </si>
  <si>
    <t>title</t>
  </si>
  <si>
    <t>pct_of_market</t>
  </si>
  <si>
    <t>Sales Manager</t>
  </si>
  <si>
    <t>Customer Service Representative</t>
  </si>
  <si>
    <t>Project Manager</t>
  </si>
  <si>
    <t>Assistant Store Manager</t>
  </si>
  <si>
    <t>Senior Accountant</t>
  </si>
  <si>
    <t>Administrative Assistant</t>
  </si>
  <si>
    <t>Executive Assistant</t>
  </si>
  <si>
    <t>Registered Nurse</t>
  </si>
  <si>
    <t>Salesperson</t>
  </si>
  <si>
    <t>Staff Accountant</t>
  </si>
  <si>
    <t>Receptionist</t>
  </si>
  <si>
    <t>Account Executive</t>
  </si>
  <si>
    <t>Sales Associate</t>
  </si>
  <si>
    <t>Retail Sales Associate</t>
  </si>
  <si>
    <t>Store Manager</t>
  </si>
  <si>
    <t>work_type</t>
  </si>
  <si>
    <t>total</t>
  </si>
  <si>
    <t>pct_within_level</t>
  </si>
  <si>
    <t>FULL_TIME</t>
  </si>
  <si>
    <t>CONTRACT</t>
  </si>
  <si>
    <t>VOLUNTEER</t>
  </si>
  <si>
    <t>PART_TIME</t>
  </si>
  <si>
    <t>TEMPORARY</t>
  </si>
  <si>
    <t>INTERNSHIP</t>
  </si>
  <si>
    <t>OTHER</t>
  </si>
  <si>
    <t>Row Labels</t>
  </si>
  <si>
    <t>Grand Total</t>
  </si>
  <si>
    <t>Sum of avg_mid_salary</t>
  </si>
  <si>
    <t>Sum of total_postings</t>
  </si>
  <si>
    <t>Metric</t>
  </si>
  <si>
    <t>Value</t>
  </si>
  <si>
    <t>Total Job Postings</t>
  </si>
  <si>
    <t>Unique Companies</t>
  </si>
  <si>
    <t>Top Hiring Company</t>
  </si>
  <si>
    <t>Liberty Healthcare (1,108)</t>
  </si>
  <si>
    <t>Highest Paying City</t>
  </si>
  <si>
    <t>San Mateo CA ($253,968)</t>
  </si>
  <si>
    <t>Entry Level Avg Salary</t>
  </si>
  <si>
    <t>$89,535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</si>
</sst>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[$$-1009]#,##0"/>
  </numFmts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71" fontId="0" fillId="0" borderId="0" xfId="0" applyNumberFormat="1"/>
    <xf numFmtId="3" fontId="0" fillId="0" borderId="0" xfId="0" applyNumberFormat="1"/>
    <xf numFmtId="0" fontId="0" fillId="0" borderId="0" xfId="0" applyAlignment="1">
      <alignment horizontal="right"/>
    </xf>
    <xf numFmtId="0" fontId="1" fillId="2" borderId="0" xfId="0" applyFont="1" applyFill="1"/>
  </cellXfs>
  <cellStyles count="1">
    <cellStyle name="Normal" xfId="0" builtinId="0"/>
  </cellStyles>
  <dxfs count="17">
    <dxf>
      <numFmt numFmtId="169" formatCode="_-[$$-409]* #,##0_ ;_-[$$-409]* \-#,##0\ ;_-[$$-409]* &quot;-&quot;??_ ;_-@_ "/>
    </dxf>
    <dxf>
      <numFmt numFmtId="171" formatCode="[$$-1009]#,##0"/>
    </dxf>
    <dxf>
      <numFmt numFmtId="170" formatCode="[$$-1009]#,##0.00"/>
    </dxf>
    <dxf>
      <numFmt numFmtId="169" formatCode="_-[$$-409]* #,##0_ ;_-[$$-409]* \-#,##0\ ;_-[$$-409]* &quot;-&quot;??_ ;_-@_ "/>
    </dxf>
    <dxf>
      <numFmt numFmtId="170" formatCode="[$$-1009]#,##0.00"/>
    </dxf>
    <dxf>
      <numFmt numFmtId="169" formatCode="_-[$$-409]* #,##0_ ;_-[$$-409]* \-#,##0\ ;_-[$$-409]* &quot;-&quot;??_ ;_-@_ "/>
    </dxf>
    <dxf>
      <numFmt numFmtId="168" formatCode="_-[$$-409]* #,##0.0_ ;_-[$$-409]* \-#,##0.0\ ;_-[$$-409]* &quot;-&quot;??_ ;_-@_ "/>
    </dxf>
    <dxf>
      <numFmt numFmtId="166" formatCode="_-[$$-409]* #,##0.00_ ;_-[$$-409]* \-#,##0.00\ ;_-[$$-409]* &quot;-&quot;??_ ;_-@_ "/>
    </dxf>
    <dxf>
      <numFmt numFmtId="167" formatCode="_-[$$-409]* #,##0.000_ ;_-[$$-409]* \-#,##0.000\ ;_-[$$-409]* &quot;-&quot;??_ ;_-@_ "/>
    </dxf>
    <dxf>
      <numFmt numFmtId="166" formatCode="_-[$$-409]* #,##0.00_ ;_-[$$-409]* \-#,##0.00\ ;_-[$$-409]* &quot;-&quot;??_ ;_-@_ "/>
    </dxf>
    <dxf>
      <numFmt numFmtId="165" formatCode="&quot;₹&quot;\ #,##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[job_market_summary.xlsx]Pivot_Salary!PivotTable1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0">
                <a:solidFill>
                  <a:schemeClr val="tx1"/>
                </a:solidFill>
              </a:rPr>
              <a:t>Average</a:t>
            </a:r>
            <a:r>
              <a:rPr lang="en-IN" b="0" baseline="0">
                <a:solidFill>
                  <a:schemeClr val="tx1"/>
                </a:solidFill>
              </a:rPr>
              <a:t> Salary by Experience Level</a:t>
            </a:r>
            <a:endParaRPr lang="en-IN" b="0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36915145848514724"/>
          <c:y val="8.919714667209369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circle"/>
          <c:size val="4"/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circle"/>
          <c:size val="4"/>
          <c:spPr>
            <a:gradFill rotWithShape="1">
              <a:gsLst>
                <a:gs pos="0">
                  <a:schemeClr val="accent2"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Pivot_Salary!$B$3</c:f>
              <c:strCache>
                <c:ptCount val="1"/>
                <c:pt idx="0">
                  <c:v>Sum of avg_mid_salary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Pivot_Salary!$A$4:$A$11</c:f>
              <c:strCache>
                <c:ptCount val="7"/>
                <c:pt idx="0">
                  <c:v>Associate</c:v>
                </c:pt>
                <c:pt idx="1">
                  <c:v>Director</c:v>
                </c:pt>
                <c:pt idx="2">
                  <c:v>Entry level</c:v>
                </c:pt>
                <c:pt idx="3">
                  <c:v>Executive</c:v>
                </c:pt>
                <c:pt idx="4">
                  <c:v>Internship</c:v>
                </c:pt>
                <c:pt idx="5">
                  <c:v>Mid-Senior level</c:v>
                </c:pt>
                <c:pt idx="6">
                  <c:v>Not Specified</c:v>
                </c:pt>
              </c:strCache>
            </c:strRef>
          </c:cat>
          <c:val>
            <c:numRef>
              <c:f>Pivot_Salary!$B$4:$B$11</c:f>
              <c:numCache>
                <c:formatCode>[$$-1009]#,##0</c:formatCode>
                <c:ptCount val="7"/>
                <c:pt idx="0">
                  <c:v>94345</c:v>
                </c:pt>
                <c:pt idx="1">
                  <c:v>172770</c:v>
                </c:pt>
                <c:pt idx="2">
                  <c:v>89535</c:v>
                </c:pt>
                <c:pt idx="3">
                  <c:v>201926</c:v>
                </c:pt>
                <c:pt idx="4">
                  <c:v>75609</c:v>
                </c:pt>
                <c:pt idx="5">
                  <c:v>124096</c:v>
                </c:pt>
                <c:pt idx="6">
                  <c:v>112032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32-4933-A77C-83032A4045A8}"/>
            </c:ext>
          </c:extLst>
        </c:ser>
        <c:ser>
          <c:idx val="1"/>
          <c:order val="1"/>
          <c:tx>
            <c:strRef>
              <c:f>Pivot_Salary!$C$3</c:f>
              <c:strCache>
                <c:ptCount val="1"/>
                <c:pt idx="0">
                  <c:v>Sum of total_postings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Pivot_Salary!$A$4:$A$11</c:f>
              <c:strCache>
                <c:ptCount val="7"/>
                <c:pt idx="0">
                  <c:v>Associate</c:v>
                </c:pt>
                <c:pt idx="1">
                  <c:v>Director</c:v>
                </c:pt>
                <c:pt idx="2">
                  <c:v>Entry level</c:v>
                </c:pt>
                <c:pt idx="3">
                  <c:v>Executive</c:v>
                </c:pt>
                <c:pt idx="4">
                  <c:v>Internship</c:v>
                </c:pt>
                <c:pt idx="5">
                  <c:v>Mid-Senior level</c:v>
                </c:pt>
                <c:pt idx="6">
                  <c:v>Not Specified</c:v>
                </c:pt>
              </c:strCache>
            </c:strRef>
          </c:cat>
          <c:val>
            <c:numRef>
              <c:f>Pivot_Salary!$C$4:$C$11</c:f>
              <c:numCache>
                <c:formatCode>General</c:formatCode>
                <c:ptCount val="7"/>
                <c:pt idx="0">
                  <c:v>2019</c:v>
                </c:pt>
                <c:pt idx="1">
                  <c:v>1127</c:v>
                </c:pt>
                <c:pt idx="2">
                  <c:v>2732</c:v>
                </c:pt>
                <c:pt idx="3">
                  <c:v>310</c:v>
                </c:pt>
                <c:pt idx="4">
                  <c:v>40</c:v>
                </c:pt>
                <c:pt idx="5">
                  <c:v>7747</c:v>
                </c:pt>
                <c:pt idx="6">
                  <c:v>4354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F32-4933-A77C-83032A4045A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1173597503"/>
        <c:axId val="1173613823"/>
      </c:barChart>
      <c:catAx>
        <c:axId val="11735975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3613823"/>
        <c:crosses val="autoZero"/>
        <c:auto val="1"/>
        <c:lblAlgn val="ctr"/>
        <c:lblOffset val="100"/>
        <c:noMultiLvlLbl val="0"/>
      </c:catAx>
      <c:valAx>
        <c:axId val="1173613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1009]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3597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9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601981</xdr:colOff>
      <xdr:row>0</xdr:row>
      <xdr:rowOff>15240</xdr:rowOff>
    </xdr:from>
    <xdr:to>
      <xdr:col>15</xdr:col>
      <xdr:colOff>99392</xdr:colOff>
      <xdr:row>19</xdr:row>
      <xdr:rowOff>173935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05EFA29-7CA9-4B9B-A78D-E82EBAA1DE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ardhini Nandi" refreshedDate="46184.559054861114" createdVersion="8" refreshedVersion="8" minRefreshableVersion="3" recordCount="7" xr:uid="{2CBE05E6-C6FD-4DF3-9562-93CA748AB794}">
  <cacheSource type="worksheet">
    <worksheetSource name="salary_by_experience"/>
  </cacheSource>
  <cacheFields count="5">
    <cacheField name="formatted_experience_level" numFmtId="0">
      <sharedItems count="7">
        <s v="Executive"/>
        <s v="Director"/>
        <s v="Mid-Senior level"/>
        <s v="Not Specified"/>
        <s v="Associate"/>
        <s v="Entry level"/>
        <s v="Internship"/>
      </sharedItems>
    </cacheField>
    <cacheField name="total_postings" numFmtId="0">
      <sharedItems containsSemiMixedTypes="0" containsString="0" containsNumber="1" containsInteger="1" minValue="40" maxValue="7747"/>
    </cacheField>
    <cacheField name="avg_min_salary" numFmtId="0">
      <sharedItems containsSemiMixedTypes="0" containsString="0" containsNumber="1" containsInteger="1" minValue="61199" maxValue="175380"/>
    </cacheField>
    <cacheField name="avg_max_salary" numFmtId="0">
      <sharedItems containsSemiMixedTypes="0" containsString="0" containsNumber="1" containsInteger="1" minValue="90019" maxValue="228473"/>
    </cacheField>
    <cacheField name="avg_mid_salary" numFmtId="0">
      <sharedItems containsSemiMixedTypes="0" containsString="0" containsNumber="1" containsInteger="1" minValue="75609" maxValue="20192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ardhini Nandi" refreshedDate="46184.561897569445" createdVersion="8" refreshedVersion="8" minRefreshableVersion="3" recordCount="15" xr:uid="{01535955-F1AF-42C7-81B4-74FC07F8D061}">
  <cacheSource type="worksheet">
    <worksheetSource name="top_companies"/>
  </cacheSource>
  <cacheFields count="3">
    <cacheField name="company_name" numFmtId="0">
      <sharedItems count="15">
        <s v="Liberty Healthcare and Rehabilitation Services"/>
        <s v="The Job Network"/>
        <s v="J. Galt"/>
        <s v="TEKsystems"/>
        <s v="Lowe's Companies, Inc."/>
        <s v="Ingersoll Rand"/>
        <s v="Capital One"/>
        <s v="Cogent Communications"/>
        <s v="Insight Global"/>
        <s v="Dice"/>
        <s v="Wells Fargo"/>
        <s v="Circle K"/>
        <s v="Amazon"/>
        <s v="Macy's"/>
        <s v="Millennium Recruiting, Inc."/>
      </sharedItems>
    </cacheField>
    <cacheField name="total_postings" numFmtId="0">
      <sharedItems containsSemiMixedTypes="0" containsString="0" containsNumber="1" containsInteger="1" minValue="329" maxValue="1108"/>
    </cacheField>
    <cacheField name="full_time_postings" numFmtId="0">
      <sharedItems containsSemiMixedTypes="0" containsString="0" containsNumber="1" containsInteger="1" minValue="139" maxValue="109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x v="0"/>
    <n v="310"/>
    <n v="175380"/>
    <n v="228473"/>
    <n v="201926"/>
  </r>
  <r>
    <x v="1"/>
    <n v="1127"/>
    <n v="146014"/>
    <n v="199526"/>
    <n v="172770"/>
  </r>
  <r>
    <x v="2"/>
    <n v="7747"/>
    <n v="104093"/>
    <n v="144098"/>
    <n v="124096"/>
  </r>
  <r>
    <x v="3"/>
    <n v="4354"/>
    <n v="91444"/>
    <n v="132620"/>
    <n v="112032"/>
  </r>
  <r>
    <x v="4"/>
    <n v="2019"/>
    <n v="80848"/>
    <n v="107842"/>
    <n v="94345"/>
  </r>
  <r>
    <x v="5"/>
    <n v="2732"/>
    <n v="74137"/>
    <n v="104932"/>
    <n v="89535"/>
  </r>
  <r>
    <x v="6"/>
    <n v="40"/>
    <n v="61199"/>
    <n v="90019"/>
    <n v="7560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x v="0"/>
    <n v="1108"/>
    <n v="1092"/>
  </r>
  <r>
    <x v="1"/>
    <n v="1003"/>
    <n v="886"/>
  </r>
  <r>
    <x v="2"/>
    <n v="604"/>
    <n v="604"/>
  </r>
  <r>
    <x v="3"/>
    <n v="529"/>
    <n v="496"/>
  </r>
  <r>
    <x v="4"/>
    <n v="527"/>
    <n v="277"/>
  </r>
  <r>
    <x v="5"/>
    <n v="517"/>
    <n v="428"/>
  </r>
  <r>
    <x v="6"/>
    <n v="496"/>
    <n v="494"/>
  </r>
  <r>
    <x v="7"/>
    <n v="476"/>
    <n v="476"/>
  </r>
  <r>
    <x v="8"/>
    <n v="418"/>
    <n v="259"/>
  </r>
  <r>
    <x v="9"/>
    <n v="415"/>
    <n v="384"/>
  </r>
  <r>
    <x v="10"/>
    <n v="388"/>
    <n v="336"/>
  </r>
  <r>
    <x v="11"/>
    <n v="381"/>
    <n v="139"/>
  </r>
  <r>
    <x v="12"/>
    <n v="343"/>
    <n v="342"/>
  </r>
  <r>
    <x v="13"/>
    <n v="333"/>
    <n v="212"/>
  </r>
  <r>
    <x v="14"/>
    <n v="329"/>
    <n v="32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6EF9E4-8742-4B77-AF73-6629FC952235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C11" firstHeaderRow="0" firstDataRow="1" firstDataCol="1"/>
  <pivotFields count="5">
    <pivotField axis="axisRow" showAll="0">
      <items count="8">
        <item x="4"/>
        <item x="1"/>
        <item x="5"/>
        <item x="0"/>
        <item x="6"/>
        <item x="2"/>
        <item x="3"/>
        <item t="default"/>
      </items>
    </pivotField>
    <pivotField dataField="1" showAll="0"/>
    <pivotField showAll="0"/>
    <pivotField showAll="0"/>
    <pivotField dataField="1"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vg_mid_salary" fld="4" baseField="0" baseItem="0" numFmtId="171"/>
    <dataField name="Sum of total_postings" fld="1" baseField="0" baseItem="0"/>
  </dataFields>
  <formats count="2">
    <format dxfId="0">
      <pivotArea collapsedLevelsAreSubtotals="1" fieldPosition="0">
        <references count="2">
          <reference field="4294967294" count="1" selected="0">
            <x v="0"/>
          </reference>
          <reference field="0" count="1">
            <x v="0"/>
          </reference>
        </references>
      </pivotArea>
    </format>
    <format dxfId="1">
      <pivotArea outline="0" fieldPosition="0">
        <references count="1">
          <reference field="4294967294" count="1">
            <x v="0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chartFormats count="8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561754-8AE3-46BB-A48B-35948C9CEDF4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9" firstHeaderRow="1" firstDataRow="1" firstDataCol="1"/>
  <pivotFields count="3">
    <pivotField axis="axisRow" showAll="0">
      <items count="16">
        <item x="12"/>
        <item x="6"/>
        <item x="11"/>
        <item x="7"/>
        <item x="9"/>
        <item x="5"/>
        <item x="8"/>
        <item x="2"/>
        <item x="0"/>
        <item x="4"/>
        <item x="13"/>
        <item x="14"/>
        <item x="3"/>
        <item x="1"/>
        <item x="10"/>
        <item t="default"/>
      </items>
    </pivotField>
    <pivotField dataField="1" showAll="0"/>
    <pivotField showAll="0"/>
  </pivotFields>
  <rowFields count="1">
    <field x="0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Sum of total_postings" fld="1" baseField="0" baseItem="0"/>
  </dataField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1910869-D7E6-44BD-B1C2-4A905C5FC424}" autoFormatId="16" applyNumberFormats="0" applyBorderFormats="0" applyFontFormats="0" applyPatternFormats="0" applyAlignmentFormats="0" applyWidthHeightFormats="0">
  <queryTableRefresh nextId="6">
    <queryTableFields count="5">
      <queryTableField id="1" name="formatted_experience_level" tableColumnId="1"/>
      <queryTableField id="2" name="total_postings" tableColumnId="2"/>
      <queryTableField id="3" name="avg_min_salary" tableColumnId="3"/>
      <queryTableField id="4" name="avg_max_salary" tableColumnId="4"/>
      <queryTableField id="5" name="avg_mid_salary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0B53A912-4A9E-442B-8149-9A87B898A510}" autoFormatId="16" applyNumberFormats="0" applyBorderFormats="0" applyFontFormats="0" applyPatternFormats="0" applyAlignmentFormats="0" applyWidthHeightFormats="0">
  <queryTableRefresh nextId="7">
    <queryTableFields count="6">
      <queryTableField id="1" name="location" tableColumnId="1"/>
      <queryTableField id="2" name="job_count" tableColumnId="2"/>
      <queryTableField id="3" name="avg_min_salary" tableColumnId="3"/>
      <queryTableField id="4" name="avg_max_salary" tableColumnId="4"/>
      <queryTableField id="5" name="lowest_salary" tableColumnId="5"/>
      <queryTableField id="6" name="highest_salary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6B5E1A4A-19D9-492D-9AF5-D5D31F4B6507}" autoFormatId="16" applyNumberFormats="0" applyBorderFormats="0" applyFontFormats="0" applyPatternFormats="0" applyAlignmentFormats="0" applyWidthHeightFormats="0">
  <queryTableRefresh nextId="4">
    <queryTableFields count="3">
      <queryTableField id="1" name="company_name" tableColumnId="1"/>
      <queryTableField id="2" name="total_postings" tableColumnId="2"/>
      <queryTableField id="3" name="full_time_postings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E7E4C358-BAEC-4F7C-B816-9ABAC7954E1E}" autoFormatId="16" applyNumberFormats="0" applyBorderFormats="0" applyFontFormats="0" applyPatternFormats="0" applyAlignmentFormats="0" applyWidthHeightFormats="0">
  <queryTableRefresh nextId="4">
    <queryTableFields count="3">
      <queryTableField id="1" name="title" tableColumnId="1"/>
      <queryTableField id="2" name="total_postings" tableColumnId="2"/>
      <queryTableField id="3" name="pct_of_market" tableColumnId="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4849E277-79E2-4B66-9F08-E3BECFAC0BFB}" autoFormatId="16" applyNumberFormats="0" applyBorderFormats="0" applyFontFormats="0" applyPatternFormats="0" applyAlignmentFormats="0" applyWidthHeightFormats="0">
  <queryTableRefresh nextId="5">
    <queryTableFields count="4">
      <queryTableField id="1" name="formatted_experience_level" tableColumnId="1"/>
      <queryTableField id="2" name="work_type" tableColumnId="2"/>
      <queryTableField id="3" name="total" tableColumnId="3"/>
      <queryTableField id="4" name="pct_within_level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A03BE2-28B5-4D35-9BB8-0C6534DEC7DB}" name="salary_by_experience" displayName="salary_by_experience" ref="A1:E8" tableType="queryTable" totalsRowShown="0">
  <autoFilter ref="A1:E8" xr:uid="{25A03BE2-28B5-4D35-9BB8-0C6534DEC7DB}"/>
  <tableColumns count="5">
    <tableColumn id="1" xr3:uid="{66CF9A22-5AD0-4964-B8A9-8AF256E72108}" uniqueName="1" name="formatted_experience_level" queryTableFieldId="1" dataDxfId="16"/>
    <tableColumn id="2" xr3:uid="{582E5C45-879D-4C12-A900-F3D90B69B060}" uniqueName="2" name="total_postings" queryTableFieldId="2"/>
    <tableColumn id="3" xr3:uid="{CC0728C2-2EEF-4706-BC7D-DB030D11EFBD}" uniqueName="3" name="avg_min_salary" queryTableFieldId="3"/>
    <tableColumn id="4" xr3:uid="{1C2AABFF-47D2-453B-BB5C-069023E7801A}" uniqueName="4" name="avg_max_salary" queryTableFieldId="4"/>
    <tableColumn id="5" xr3:uid="{256D6BAE-EB20-4947-BD12-0817D06C70B9}" uniqueName="5" name="avg_mid_salary" queryTableFieldId="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731E612-BA4A-46A6-9886-2D8BB8F01096}" name="salary_by_location" displayName="salary_by_location" ref="A1:F21" tableType="queryTable" totalsRowShown="0">
  <autoFilter ref="A1:F21" xr:uid="{C731E612-BA4A-46A6-9886-2D8BB8F01096}"/>
  <tableColumns count="6">
    <tableColumn id="1" xr3:uid="{ED871A8B-D095-427A-8F64-403E17FF7AF8}" uniqueName="1" name="location" queryTableFieldId="1" dataDxfId="15"/>
    <tableColumn id="2" xr3:uid="{80E33DD2-CC46-463D-B396-F8F953C6229C}" uniqueName="2" name="job_count" queryTableFieldId="2"/>
    <tableColumn id="3" xr3:uid="{D1ED28BA-060B-44F2-8310-70E1935F418C}" uniqueName="3" name="avg_min_salary" queryTableFieldId="3"/>
    <tableColumn id="4" xr3:uid="{1A165EE5-1BD6-4663-B7B6-C054BE437F4A}" uniqueName="4" name="avg_max_salary" queryTableFieldId="4"/>
    <tableColumn id="5" xr3:uid="{6A97C154-5245-4B15-A40F-A6A077C52635}" uniqueName="5" name="lowest_salary" queryTableFieldId="5"/>
    <tableColumn id="6" xr3:uid="{E9F9AB87-B529-46AD-AB00-618E2DEC5D91}" uniqueName="6" name="highest_salary" queryTableFieldId="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0862C75-07BF-4FD5-AF96-D43A5CF19608}" name="top_companies" displayName="top_companies" ref="A1:C16" tableType="queryTable" totalsRowShown="0">
  <autoFilter ref="A1:C16" xr:uid="{F0862C75-07BF-4FD5-AF96-D43A5CF19608}"/>
  <tableColumns count="3">
    <tableColumn id="1" xr3:uid="{9945EF78-2763-4724-979D-6E1487E8B57A}" uniqueName="1" name="company_name" queryTableFieldId="1" dataDxfId="14"/>
    <tableColumn id="2" xr3:uid="{36474650-3617-4C61-8569-1AA0F53421A3}" uniqueName="2" name="total_postings" queryTableFieldId="2"/>
    <tableColumn id="3" xr3:uid="{EB384536-6A87-42DF-86B3-C45CA1C7163B}" uniqueName="3" name="full_time_postings" queryTableFieldId="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2B2D80B-B9B7-4A25-B72C-C6EECD26797F}" name="top_job_titles" displayName="top_job_titles" ref="A1:C16" tableType="queryTable" totalsRowShown="0">
  <autoFilter ref="A1:C16" xr:uid="{32B2D80B-B9B7-4A25-B72C-C6EECD26797F}"/>
  <tableColumns count="3">
    <tableColumn id="1" xr3:uid="{462795E6-1735-4727-B3CB-ECBB271F2E42}" uniqueName="1" name="title" queryTableFieldId="1" dataDxfId="13"/>
    <tableColumn id="2" xr3:uid="{EEEDC4C0-0F9B-4258-A068-4CD48F34EA71}" uniqueName="2" name="total_postings" queryTableFieldId="2"/>
    <tableColumn id="3" xr3:uid="{5BB89CE9-6F70-46EA-8731-39B05EC9E086}" uniqueName="3" name="pct_of_market" queryTableFieldId="3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365F6F9-5D6B-434C-A2E2-E4BE687F575B}" name="worktype_by_experience" displayName="worktype_by_experience" ref="A1:D40" tableType="queryTable" totalsRowShown="0">
  <autoFilter ref="A1:D40" xr:uid="{5365F6F9-5D6B-434C-A2E2-E4BE687F575B}"/>
  <tableColumns count="4">
    <tableColumn id="1" xr3:uid="{C58B6178-5F48-4D12-B86F-FB2C1FF3CDE5}" uniqueName="1" name="formatted_experience_level" queryTableFieldId="1" dataDxfId="12"/>
    <tableColumn id="2" xr3:uid="{66814845-6FAD-40E6-9A55-0920EAFA9A49}" uniqueName="2" name="work_type" queryTableFieldId="2" dataDxfId="11"/>
    <tableColumn id="3" xr3:uid="{8F025B51-6CA9-4D6A-B241-DAC0510619A9}" uniqueName="3" name="total" queryTableFieldId="3"/>
    <tableColumn id="4" xr3:uid="{52049D26-3302-415D-9587-421358C5FF9E}" uniqueName="4" name="pct_within_level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C52F2-6D7A-484E-869A-BBCE9FE85872}">
  <dimension ref="A1:B6"/>
  <sheetViews>
    <sheetView tabSelected="1" zoomScale="92" workbookViewId="0">
      <selection activeCell="Q6" sqref="Q6"/>
    </sheetView>
  </sheetViews>
  <sheetFormatPr defaultRowHeight="14.4" x14ac:dyDescent="0.3"/>
  <cols>
    <col min="1" max="1" width="21.6640625" customWidth="1"/>
    <col min="2" max="2" width="22.33203125" customWidth="1"/>
  </cols>
  <sheetData>
    <row r="1" spans="1:2" ht="18" x14ac:dyDescent="0.35">
      <c r="A1" s="7" t="s">
        <v>84</v>
      </c>
      <c r="B1" s="7" t="s">
        <v>85</v>
      </c>
    </row>
    <row r="2" spans="1:2" x14ac:dyDescent="0.3">
      <c r="A2" t="s">
        <v>86</v>
      </c>
      <c r="B2" s="5">
        <v>122130</v>
      </c>
    </row>
    <row r="3" spans="1:2" x14ac:dyDescent="0.3">
      <c r="A3" t="s">
        <v>87</v>
      </c>
      <c r="B3" s="5">
        <v>24428</v>
      </c>
    </row>
    <row r="4" spans="1:2" x14ac:dyDescent="0.3">
      <c r="A4" t="s">
        <v>88</v>
      </c>
      <c r="B4" s="6" t="s">
        <v>89</v>
      </c>
    </row>
    <row r="5" spans="1:2" x14ac:dyDescent="0.3">
      <c r="A5" t="s">
        <v>90</v>
      </c>
      <c r="B5" s="6" t="s">
        <v>91</v>
      </c>
    </row>
    <row r="6" spans="1:2" x14ac:dyDescent="0.3">
      <c r="A6" t="s">
        <v>92</v>
      </c>
      <c r="B6" s="6" t="s">
        <v>93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A84A9-70E0-40AB-9E42-55ACA2B44EAF}">
  <dimension ref="A3:C11"/>
  <sheetViews>
    <sheetView workbookViewId="0">
      <selection activeCell="E4" sqref="E4"/>
    </sheetView>
  </sheetViews>
  <sheetFormatPr defaultRowHeight="14.4" x14ac:dyDescent="0.3"/>
  <cols>
    <col min="1" max="1" width="14.21875" bestFit="1" customWidth="1"/>
    <col min="2" max="2" width="20.77734375" bestFit="1" customWidth="1"/>
    <col min="3" max="3" width="19.5546875" bestFit="1" customWidth="1"/>
  </cols>
  <sheetData>
    <row r="3" spans="1:3" x14ac:dyDescent="0.3">
      <c r="A3" s="2" t="s">
        <v>80</v>
      </c>
      <c r="B3" t="s">
        <v>82</v>
      </c>
      <c r="C3" t="s">
        <v>83</v>
      </c>
    </row>
    <row r="4" spans="1:3" x14ac:dyDescent="0.3">
      <c r="A4" s="3" t="s">
        <v>9</v>
      </c>
      <c r="B4" s="4">
        <v>94345</v>
      </c>
      <c r="C4" s="1">
        <v>2019</v>
      </c>
    </row>
    <row r="5" spans="1:3" x14ac:dyDescent="0.3">
      <c r="A5" s="3" t="s">
        <v>6</v>
      </c>
      <c r="B5" s="4">
        <v>172770</v>
      </c>
      <c r="C5" s="1">
        <v>1127</v>
      </c>
    </row>
    <row r="6" spans="1:3" x14ac:dyDescent="0.3">
      <c r="A6" s="3" t="s">
        <v>10</v>
      </c>
      <c r="B6" s="4">
        <v>89535</v>
      </c>
      <c r="C6" s="1">
        <v>2732</v>
      </c>
    </row>
    <row r="7" spans="1:3" x14ac:dyDescent="0.3">
      <c r="A7" s="3" t="s">
        <v>5</v>
      </c>
      <c r="B7" s="4">
        <v>201926</v>
      </c>
      <c r="C7" s="1">
        <v>310</v>
      </c>
    </row>
    <row r="8" spans="1:3" x14ac:dyDescent="0.3">
      <c r="A8" s="3" t="s">
        <v>11</v>
      </c>
      <c r="B8" s="4">
        <v>75609</v>
      </c>
      <c r="C8" s="1">
        <v>40</v>
      </c>
    </row>
    <row r="9" spans="1:3" x14ac:dyDescent="0.3">
      <c r="A9" s="3" t="s">
        <v>7</v>
      </c>
      <c r="B9" s="4">
        <v>124096</v>
      </c>
      <c r="C9" s="1">
        <v>7747</v>
      </c>
    </row>
    <row r="10" spans="1:3" x14ac:dyDescent="0.3">
      <c r="A10" s="3" t="s">
        <v>8</v>
      </c>
      <c r="B10" s="4">
        <v>112032</v>
      </c>
      <c r="C10" s="1">
        <v>4354</v>
      </c>
    </row>
    <row r="11" spans="1:3" x14ac:dyDescent="0.3">
      <c r="A11" s="3" t="s">
        <v>81</v>
      </c>
      <c r="B11" s="4">
        <v>870313</v>
      </c>
      <c r="C11" s="1">
        <v>18329</v>
      </c>
    </row>
  </sheetData>
  <conditionalFormatting pivot="1" sqref="B4:B1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8655B-78E7-48BC-8824-575395B84321}">
  <dimension ref="A1:E8"/>
  <sheetViews>
    <sheetView workbookViewId="0"/>
  </sheetViews>
  <sheetFormatPr defaultRowHeight="14.4" x14ac:dyDescent="0.3"/>
  <cols>
    <col min="1" max="1" width="27.109375" bestFit="1" customWidth="1"/>
    <col min="2" max="2" width="15.109375" bestFit="1" customWidth="1"/>
    <col min="3" max="3" width="16.44140625" bestFit="1" customWidth="1"/>
    <col min="4" max="4" width="16.77734375" bestFit="1" customWidth="1"/>
    <col min="5" max="5" width="16.441406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 t="s">
        <v>5</v>
      </c>
      <c r="B2">
        <v>310</v>
      </c>
      <c r="C2">
        <v>175380</v>
      </c>
      <c r="D2">
        <v>228473</v>
      </c>
      <c r="E2">
        <v>201926</v>
      </c>
    </row>
    <row r="3" spans="1:5" x14ac:dyDescent="0.3">
      <c r="A3" s="1" t="s">
        <v>6</v>
      </c>
      <c r="B3">
        <v>1127</v>
      </c>
      <c r="C3">
        <v>146014</v>
      </c>
      <c r="D3">
        <v>199526</v>
      </c>
      <c r="E3">
        <v>172770</v>
      </c>
    </row>
    <row r="4" spans="1:5" x14ac:dyDescent="0.3">
      <c r="A4" s="1" t="s">
        <v>7</v>
      </c>
      <c r="B4">
        <v>7747</v>
      </c>
      <c r="C4">
        <v>104093</v>
      </c>
      <c r="D4">
        <v>144098</v>
      </c>
      <c r="E4">
        <v>124096</v>
      </c>
    </row>
    <row r="5" spans="1:5" x14ac:dyDescent="0.3">
      <c r="A5" s="1" t="s">
        <v>8</v>
      </c>
      <c r="B5">
        <v>4354</v>
      </c>
      <c r="C5">
        <v>91444</v>
      </c>
      <c r="D5">
        <v>132620</v>
      </c>
      <c r="E5">
        <v>112032</v>
      </c>
    </row>
    <row r="6" spans="1:5" x14ac:dyDescent="0.3">
      <c r="A6" s="1" t="s">
        <v>9</v>
      </c>
      <c r="B6">
        <v>2019</v>
      </c>
      <c r="C6">
        <v>80848</v>
      </c>
      <c r="D6">
        <v>107842</v>
      </c>
      <c r="E6">
        <v>94345</v>
      </c>
    </row>
    <row r="7" spans="1:5" x14ac:dyDescent="0.3">
      <c r="A7" s="1" t="s">
        <v>10</v>
      </c>
      <c r="B7">
        <v>2732</v>
      </c>
      <c r="C7">
        <v>74137</v>
      </c>
      <c r="D7">
        <v>104932</v>
      </c>
      <c r="E7">
        <v>89535</v>
      </c>
    </row>
    <row r="8" spans="1:5" x14ac:dyDescent="0.3">
      <c r="A8" s="1" t="s">
        <v>11</v>
      </c>
      <c r="B8">
        <v>40</v>
      </c>
      <c r="C8">
        <v>61199</v>
      </c>
      <c r="D8">
        <v>90019</v>
      </c>
      <c r="E8">
        <v>75609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390AE-F2DE-4916-8A69-50FE963510D1}">
  <dimension ref="A1:F21"/>
  <sheetViews>
    <sheetView workbookViewId="0"/>
  </sheetViews>
  <sheetFormatPr defaultRowHeight="14.4" x14ac:dyDescent="0.3"/>
  <cols>
    <col min="1" max="1" width="19.88671875" bestFit="1" customWidth="1"/>
    <col min="2" max="2" width="11.88671875" bestFit="1" customWidth="1"/>
    <col min="3" max="3" width="16.44140625" bestFit="1" customWidth="1"/>
    <col min="4" max="4" width="16.77734375" bestFit="1" customWidth="1"/>
    <col min="5" max="5" width="14.5546875" bestFit="1" customWidth="1"/>
    <col min="6" max="6" width="15.33203125" bestFit="1" customWidth="1"/>
  </cols>
  <sheetData>
    <row r="1" spans="1:6" x14ac:dyDescent="0.3">
      <c r="A1" t="s">
        <v>12</v>
      </c>
      <c r="B1" t="s">
        <v>13</v>
      </c>
      <c r="C1" t="s">
        <v>2</v>
      </c>
      <c r="D1" t="s">
        <v>3</v>
      </c>
      <c r="E1" t="s">
        <v>14</v>
      </c>
      <c r="F1" t="s">
        <v>15</v>
      </c>
    </row>
    <row r="2" spans="1:6" x14ac:dyDescent="0.3">
      <c r="A2" s="1" t="s">
        <v>16</v>
      </c>
      <c r="B2">
        <v>24</v>
      </c>
      <c r="C2">
        <v>183985</v>
      </c>
      <c r="D2">
        <v>253968</v>
      </c>
      <c r="E2">
        <v>51435</v>
      </c>
      <c r="F2">
        <v>422210</v>
      </c>
    </row>
    <row r="3" spans="1:6" x14ac:dyDescent="0.3">
      <c r="A3" s="1" t="s">
        <v>17</v>
      </c>
      <c r="B3">
        <v>32</v>
      </c>
      <c r="C3">
        <v>173896</v>
      </c>
      <c r="D3">
        <v>234388</v>
      </c>
      <c r="E3">
        <v>70000</v>
      </c>
      <c r="F3">
        <v>426000</v>
      </c>
    </row>
    <row r="4" spans="1:6" x14ac:dyDescent="0.3">
      <c r="A4" s="1" t="s">
        <v>18</v>
      </c>
      <c r="B4">
        <v>13</v>
      </c>
      <c r="C4">
        <v>159936</v>
      </c>
      <c r="D4">
        <v>217687</v>
      </c>
      <c r="E4">
        <v>66650</v>
      </c>
      <c r="F4">
        <v>491086</v>
      </c>
    </row>
    <row r="5" spans="1:6" x14ac:dyDescent="0.3">
      <c r="A5" s="1" t="s">
        <v>19</v>
      </c>
      <c r="B5">
        <v>23</v>
      </c>
      <c r="C5">
        <v>135196</v>
      </c>
      <c r="D5">
        <v>212804</v>
      </c>
      <c r="E5">
        <v>83100</v>
      </c>
      <c r="F5">
        <v>383300</v>
      </c>
    </row>
    <row r="6" spans="1:6" x14ac:dyDescent="0.3">
      <c r="A6" s="1" t="s">
        <v>20</v>
      </c>
      <c r="B6">
        <v>44</v>
      </c>
      <c r="C6">
        <v>144613</v>
      </c>
      <c r="D6">
        <v>210588</v>
      </c>
      <c r="E6">
        <v>67000</v>
      </c>
      <c r="F6">
        <v>363000</v>
      </c>
    </row>
    <row r="7" spans="1:6" x14ac:dyDescent="0.3">
      <c r="A7" s="1" t="s">
        <v>21</v>
      </c>
      <c r="B7">
        <v>58</v>
      </c>
      <c r="C7">
        <v>132627</v>
      </c>
      <c r="D7">
        <v>205344</v>
      </c>
      <c r="E7">
        <v>38094</v>
      </c>
      <c r="F7">
        <v>417500</v>
      </c>
    </row>
    <row r="8" spans="1:6" x14ac:dyDescent="0.3">
      <c r="A8" s="1" t="s">
        <v>22</v>
      </c>
      <c r="B8">
        <v>44</v>
      </c>
      <c r="C8">
        <v>148542</v>
      </c>
      <c r="D8">
        <v>204815</v>
      </c>
      <c r="E8">
        <v>64272</v>
      </c>
      <c r="F8">
        <v>475000</v>
      </c>
    </row>
    <row r="9" spans="1:6" x14ac:dyDescent="0.3">
      <c r="A9" s="1" t="s">
        <v>23</v>
      </c>
      <c r="B9">
        <v>72</v>
      </c>
      <c r="C9">
        <v>133768</v>
      </c>
      <c r="D9">
        <v>204524</v>
      </c>
      <c r="E9">
        <v>70000</v>
      </c>
      <c r="F9">
        <v>416000</v>
      </c>
    </row>
    <row r="10" spans="1:6" x14ac:dyDescent="0.3">
      <c r="A10" s="1" t="s">
        <v>24</v>
      </c>
      <c r="B10">
        <v>22</v>
      </c>
      <c r="C10">
        <v>102180</v>
      </c>
      <c r="D10">
        <v>203675</v>
      </c>
      <c r="E10">
        <v>42210</v>
      </c>
      <c r="F10">
        <v>500000</v>
      </c>
    </row>
    <row r="11" spans="1:6" x14ac:dyDescent="0.3">
      <c r="A11" s="1" t="s">
        <v>25</v>
      </c>
      <c r="B11">
        <v>162</v>
      </c>
      <c r="C11">
        <v>131192</v>
      </c>
      <c r="D11">
        <v>199289</v>
      </c>
      <c r="E11">
        <v>43680</v>
      </c>
      <c r="F11">
        <v>450000</v>
      </c>
    </row>
    <row r="12" spans="1:6" x14ac:dyDescent="0.3">
      <c r="A12" s="1" t="s">
        <v>26</v>
      </c>
      <c r="B12">
        <v>12</v>
      </c>
      <c r="C12">
        <v>130532</v>
      </c>
      <c r="D12">
        <v>196580</v>
      </c>
      <c r="E12">
        <v>46000</v>
      </c>
      <c r="F12">
        <v>344000</v>
      </c>
    </row>
    <row r="13" spans="1:6" x14ac:dyDescent="0.3">
      <c r="A13" s="1" t="s">
        <v>27</v>
      </c>
      <c r="B13">
        <v>16</v>
      </c>
      <c r="C13">
        <v>113900</v>
      </c>
      <c r="D13">
        <v>194826</v>
      </c>
      <c r="E13">
        <v>60000</v>
      </c>
      <c r="F13">
        <v>276000</v>
      </c>
    </row>
    <row r="14" spans="1:6" x14ac:dyDescent="0.3">
      <c r="A14" s="1" t="s">
        <v>28</v>
      </c>
      <c r="B14">
        <v>18</v>
      </c>
      <c r="C14">
        <v>121768</v>
      </c>
      <c r="D14">
        <v>194437</v>
      </c>
      <c r="E14">
        <v>52000</v>
      </c>
      <c r="F14">
        <v>372700</v>
      </c>
    </row>
    <row r="15" spans="1:6" x14ac:dyDescent="0.3">
      <c r="A15" s="1" t="s">
        <v>29</v>
      </c>
      <c r="B15">
        <v>54</v>
      </c>
      <c r="C15">
        <v>123816</v>
      </c>
      <c r="D15">
        <v>190484</v>
      </c>
      <c r="E15">
        <v>35000</v>
      </c>
      <c r="F15">
        <v>327700</v>
      </c>
    </row>
    <row r="16" spans="1:6" x14ac:dyDescent="0.3">
      <c r="A16" s="1" t="s">
        <v>30</v>
      </c>
      <c r="B16">
        <v>10</v>
      </c>
      <c r="C16">
        <v>131982</v>
      </c>
      <c r="D16">
        <v>189638</v>
      </c>
      <c r="E16">
        <v>50000</v>
      </c>
      <c r="F16">
        <v>307500</v>
      </c>
    </row>
    <row r="17" spans="1:6" x14ac:dyDescent="0.3">
      <c r="A17" s="1" t="s">
        <v>31</v>
      </c>
      <c r="B17">
        <v>109</v>
      </c>
      <c r="C17">
        <v>137811</v>
      </c>
      <c r="D17">
        <v>187948</v>
      </c>
      <c r="E17">
        <v>20000</v>
      </c>
      <c r="F17">
        <v>500000</v>
      </c>
    </row>
    <row r="18" spans="1:6" x14ac:dyDescent="0.3">
      <c r="A18" s="1" t="s">
        <v>32</v>
      </c>
      <c r="B18">
        <v>11</v>
      </c>
      <c r="C18">
        <v>135470</v>
      </c>
      <c r="D18">
        <v>185793</v>
      </c>
      <c r="E18">
        <v>44322</v>
      </c>
      <c r="F18">
        <v>422500</v>
      </c>
    </row>
    <row r="19" spans="1:6" x14ac:dyDescent="0.3">
      <c r="A19" s="1" t="s">
        <v>33</v>
      </c>
      <c r="B19">
        <v>11</v>
      </c>
      <c r="C19">
        <v>127159</v>
      </c>
      <c r="D19">
        <v>184694</v>
      </c>
      <c r="E19">
        <v>65000</v>
      </c>
      <c r="F19">
        <v>337879</v>
      </c>
    </row>
    <row r="20" spans="1:6" x14ac:dyDescent="0.3">
      <c r="A20" s="1" t="s">
        <v>34</v>
      </c>
      <c r="B20">
        <v>40</v>
      </c>
      <c r="C20">
        <v>107279</v>
      </c>
      <c r="D20">
        <v>182355</v>
      </c>
      <c r="E20">
        <v>40000</v>
      </c>
      <c r="F20">
        <v>419750</v>
      </c>
    </row>
    <row r="21" spans="1:6" x14ac:dyDescent="0.3">
      <c r="A21" s="1" t="s">
        <v>35</v>
      </c>
      <c r="B21">
        <v>30</v>
      </c>
      <c r="C21">
        <v>123547</v>
      </c>
      <c r="D21">
        <v>181996</v>
      </c>
      <c r="E21">
        <v>49452</v>
      </c>
      <c r="F21">
        <v>307000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2498C-C739-4726-8900-B5AE33B0E6A1}">
  <dimension ref="A3:B19"/>
  <sheetViews>
    <sheetView workbookViewId="0">
      <selection activeCell="D14" sqref="D14"/>
    </sheetView>
  </sheetViews>
  <sheetFormatPr defaultRowHeight="14.4" x14ac:dyDescent="0.3"/>
  <cols>
    <col min="1" max="1" width="38.88671875" bestFit="1" customWidth="1"/>
    <col min="2" max="2" width="19.5546875" bestFit="1" customWidth="1"/>
  </cols>
  <sheetData>
    <row r="3" spans="1:2" x14ac:dyDescent="0.3">
      <c r="A3" s="2" t="s">
        <v>80</v>
      </c>
      <c r="B3" t="s">
        <v>83</v>
      </c>
    </row>
    <row r="4" spans="1:2" x14ac:dyDescent="0.3">
      <c r="A4" s="3" t="s">
        <v>50</v>
      </c>
      <c r="B4" s="1">
        <v>343</v>
      </c>
    </row>
    <row r="5" spans="1:2" x14ac:dyDescent="0.3">
      <c r="A5" s="3" t="s">
        <v>44</v>
      </c>
      <c r="B5" s="1">
        <v>496</v>
      </c>
    </row>
    <row r="6" spans="1:2" x14ac:dyDescent="0.3">
      <c r="A6" s="3" t="s">
        <v>49</v>
      </c>
      <c r="B6" s="1">
        <v>381</v>
      </c>
    </row>
    <row r="7" spans="1:2" x14ac:dyDescent="0.3">
      <c r="A7" s="3" t="s">
        <v>45</v>
      </c>
      <c r="B7" s="1">
        <v>476</v>
      </c>
    </row>
    <row r="8" spans="1:2" x14ac:dyDescent="0.3">
      <c r="A8" s="3" t="s">
        <v>47</v>
      </c>
      <c r="B8" s="1">
        <v>415</v>
      </c>
    </row>
    <row r="9" spans="1:2" x14ac:dyDescent="0.3">
      <c r="A9" s="3" t="s">
        <v>43</v>
      </c>
      <c r="B9" s="1">
        <v>517</v>
      </c>
    </row>
    <row r="10" spans="1:2" x14ac:dyDescent="0.3">
      <c r="A10" s="3" t="s">
        <v>46</v>
      </c>
      <c r="B10" s="1">
        <v>418</v>
      </c>
    </row>
    <row r="11" spans="1:2" x14ac:dyDescent="0.3">
      <c r="A11" s="3" t="s">
        <v>40</v>
      </c>
      <c r="B11" s="1">
        <v>604</v>
      </c>
    </row>
    <row r="12" spans="1:2" x14ac:dyDescent="0.3">
      <c r="A12" s="3" t="s">
        <v>38</v>
      </c>
      <c r="B12" s="1">
        <v>1108</v>
      </c>
    </row>
    <row r="13" spans="1:2" x14ac:dyDescent="0.3">
      <c r="A13" s="3" t="s">
        <v>42</v>
      </c>
      <c r="B13" s="1">
        <v>527</v>
      </c>
    </row>
    <row r="14" spans="1:2" x14ac:dyDescent="0.3">
      <c r="A14" s="3" t="s">
        <v>51</v>
      </c>
      <c r="B14" s="1">
        <v>333</v>
      </c>
    </row>
    <row r="15" spans="1:2" x14ac:dyDescent="0.3">
      <c r="A15" s="3" t="s">
        <v>52</v>
      </c>
      <c r="B15" s="1">
        <v>329</v>
      </c>
    </row>
    <row r="16" spans="1:2" x14ac:dyDescent="0.3">
      <c r="A16" s="3" t="s">
        <v>41</v>
      </c>
      <c r="B16" s="1">
        <v>529</v>
      </c>
    </row>
    <row r="17" spans="1:2" x14ac:dyDescent="0.3">
      <c r="A17" s="3" t="s">
        <v>39</v>
      </c>
      <c r="B17" s="1">
        <v>1003</v>
      </c>
    </row>
    <row r="18" spans="1:2" x14ac:dyDescent="0.3">
      <c r="A18" s="3" t="s">
        <v>48</v>
      </c>
      <c r="B18" s="1">
        <v>388</v>
      </c>
    </row>
    <row r="19" spans="1:2" x14ac:dyDescent="0.3">
      <c r="A19" s="3" t="s">
        <v>81</v>
      </c>
      <c r="B19" s="1">
        <v>7867</v>
      </c>
    </row>
  </sheetData>
  <conditionalFormatting pivot="1" sqref="B4:B19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{37ACBAD9-70F4-483E-ABA2-2C76DFB2DDFD}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37ACBAD9-70F4-483E-ABA2-2C76DFB2DDF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B4:B19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54EB7-F4F8-4071-A402-C52D3C596C8A}">
  <dimension ref="A1:C16"/>
  <sheetViews>
    <sheetView workbookViewId="0"/>
  </sheetViews>
  <sheetFormatPr defaultRowHeight="14.4" x14ac:dyDescent="0.3"/>
  <cols>
    <col min="1" max="1" width="38.88671875" bestFit="1" customWidth="1"/>
    <col min="2" max="2" width="15.109375" bestFit="1" customWidth="1"/>
    <col min="3" max="3" width="18.77734375" bestFit="1" customWidth="1"/>
  </cols>
  <sheetData>
    <row r="1" spans="1:3" x14ac:dyDescent="0.3">
      <c r="A1" t="s">
        <v>36</v>
      </c>
      <c r="B1" t="s">
        <v>1</v>
      </c>
      <c r="C1" t="s">
        <v>37</v>
      </c>
    </row>
    <row r="2" spans="1:3" x14ac:dyDescent="0.3">
      <c r="A2" s="1" t="s">
        <v>38</v>
      </c>
      <c r="B2">
        <v>1108</v>
      </c>
      <c r="C2">
        <v>1092</v>
      </c>
    </row>
    <row r="3" spans="1:3" x14ac:dyDescent="0.3">
      <c r="A3" s="1" t="s">
        <v>39</v>
      </c>
      <c r="B3">
        <v>1003</v>
      </c>
      <c r="C3">
        <v>886</v>
      </c>
    </row>
    <row r="4" spans="1:3" x14ac:dyDescent="0.3">
      <c r="A4" s="1" t="s">
        <v>40</v>
      </c>
      <c r="B4">
        <v>604</v>
      </c>
      <c r="C4">
        <v>604</v>
      </c>
    </row>
    <row r="5" spans="1:3" x14ac:dyDescent="0.3">
      <c r="A5" s="1" t="s">
        <v>41</v>
      </c>
      <c r="B5">
        <v>529</v>
      </c>
      <c r="C5">
        <v>496</v>
      </c>
    </row>
    <row r="6" spans="1:3" x14ac:dyDescent="0.3">
      <c r="A6" s="1" t="s">
        <v>42</v>
      </c>
      <c r="B6">
        <v>527</v>
      </c>
      <c r="C6">
        <v>277</v>
      </c>
    </row>
    <row r="7" spans="1:3" x14ac:dyDescent="0.3">
      <c r="A7" s="1" t="s">
        <v>43</v>
      </c>
      <c r="B7">
        <v>517</v>
      </c>
      <c r="C7">
        <v>428</v>
      </c>
    </row>
    <row r="8" spans="1:3" x14ac:dyDescent="0.3">
      <c r="A8" s="1" t="s">
        <v>44</v>
      </c>
      <c r="B8">
        <v>496</v>
      </c>
      <c r="C8">
        <v>494</v>
      </c>
    </row>
    <row r="9" spans="1:3" x14ac:dyDescent="0.3">
      <c r="A9" s="1" t="s">
        <v>45</v>
      </c>
      <c r="B9">
        <v>476</v>
      </c>
      <c r="C9">
        <v>476</v>
      </c>
    </row>
    <row r="10" spans="1:3" x14ac:dyDescent="0.3">
      <c r="A10" s="1" t="s">
        <v>46</v>
      </c>
      <c r="B10">
        <v>418</v>
      </c>
      <c r="C10">
        <v>259</v>
      </c>
    </row>
    <row r="11" spans="1:3" x14ac:dyDescent="0.3">
      <c r="A11" s="1" t="s">
        <v>47</v>
      </c>
      <c r="B11">
        <v>415</v>
      </c>
      <c r="C11">
        <v>384</v>
      </c>
    </row>
    <row r="12" spans="1:3" x14ac:dyDescent="0.3">
      <c r="A12" s="1" t="s">
        <v>48</v>
      </c>
      <c r="B12">
        <v>388</v>
      </c>
      <c r="C12">
        <v>336</v>
      </c>
    </row>
    <row r="13" spans="1:3" x14ac:dyDescent="0.3">
      <c r="A13" s="1" t="s">
        <v>49</v>
      </c>
      <c r="B13">
        <v>381</v>
      </c>
      <c r="C13">
        <v>139</v>
      </c>
    </row>
    <row r="14" spans="1:3" x14ac:dyDescent="0.3">
      <c r="A14" s="1" t="s">
        <v>50</v>
      </c>
      <c r="B14">
        <v>343</v>
      </c>
      <c r="C14">
        <v>342</v>
      </c>
    </row>
    <row r="15" spans="1:3" x14ac:dyDescent="0.3">
      <c r="A15" s="1" t="s">
        <v>51</v>
      </c>
      <c r="B15">
        <v>333</v>
      </c>
      <c r="C15">
        <v>212</v>
      </c>
    </row>
    <row r="16" spans="1:3" x14ac:dyDescent="0.3">
      <c r="A16" s="1" t="s">
        <v>52</v>
      </c>
      <c r="B16">
        <v>329</v>
      </c>
      <c r="C16">
        <v>329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6CA82-A55A-403F-A4B1-6184DD86970E}">
  <dimension ref="A1:C16"/>
  <sheetViews>
    <sheetView workbookViewId="0"/>
  </sheetViews>
  <sheetFormatPr defaultRowHeight="14.4" x14ac:dyDescent="0.3"/>
  <cols>
    <col min="1" max="1" width="28.21875" bestFit="1" customWidth="1"/>
    <col min="2" max="2" width="15.109375" bestFit="1" customWidth="1"/>
    <col min="3" max="3" width="15.77734375" bestFit="1" customWidth="1"/>
  </cols>
  <sheetData>
    <row r="1" spans="1:3" x14ac:dyDescent="0.3">
      <c r="A1" t="s">
        <v>53</v>
      </c>
      <c r="B1" t="s">
        <v>1</v>
      </c>
      <c r="C1" t="s">
        <v>54</v>
      </c>
    </row>
    <row r="2" spans="1:3" x14ac:dyDescent="0.3">
      <c r="A2" s="1" t="s">
        <v>55</v>
      </c>
      <c r="B2">
        <v>669</v>
      </c>
      <c r="C2">
        <v>0.55000000000000004</v>
      </c>
    </row>
    <row r="3" spans="1:3" x14ac:dyDescent="0.3">
      <c r="A3" s="1" t="s">
        <v>56</v>
      </c>
      <c r="B3">
        <v>473</v>
      </c>
      <c r="C3">
        <v>0.39</v>
      </c>
    </row>
    <row r="4" spans="1:3" x14ac:dyDescent="0.3">
      <c r="A4" s="1" t="s">
        <v>57</v>
      </c>
      <c r="B4">
        <v>348</v>
      </c>
      <c r="C4">
        <v>0.28000000000000003</v>
      </c>
    </row>
    <row r="5" spans="1:3" x14ac:dyDescent="0.3">
      <c r="A5" s="1" t="s">
        <v>58</v>
      </c>
      <c r="B5">
        <v>320</v>
      </c>
      <c r="C5">
        <v>0.26</v>
      </c>
    </row>
    <row r="6" spans="1:3" x14ac:dyDescent="0.3">
      <c r="A6" s="1" t="s">
        <v>59</v>
      </c>
      <c r="B6">
        <v>240</v>
      </c>
      <c r="C6">
        <v>0.2</v>
      </c>
    </row>
    <row r="7" spans="1:3" x14ac:dyDescent="0.3">
      <c r="A7" s="1" t="s">
        <v>60</v>
      </c>
      <c r="B7">
        <v>238</v>
      </c>
      <c r="C7">
        <v>0.19</v>
      </c>
    </row>
    <row r="8" spans="1:3" x14ac:dyDescent="0.3">
      <c r="A8" s="1" t="s">
        <v>61</v>
      </c>
      <c r="B8">
        <v>222</v>
      </c>
      <c r="C8">
        <v>0.18</v>
      </c>
    </row>
    <row r="9" spans="1:3" x14ac:dyDescent="0.3">
      <c r="A9" s="1" t="s">
        <v>62</v>
      </c>
      <c r="B9">
        <v>210</v>
      </c>
      <c r="C9">
        <v>0.17</v>
      </c>
    </row>
    <row r="10" spans="1:3" x14ac:dyDescent="0.3">
      <c r="A10" s="1" t="s">
        <v>63</v>
      </c>
      <c r="B10">
        <v>204</v>
      </c>
      <c r="C10">
        <v>0.17</v>
      </c>
    </row>
    <row r="11" spans="1:3" x14ac:dyDescent="0.3">
      <c r="A11" s="1" t="s">
        <v>64</v>
      </c>
      <c r="B11">
        <v>200</v>
      </c>
      <c r="C11">
        <v>0.16</v>
      </c>
    </row>
    <row r="12" spans="1:3" x14ac:dyDescent="0.3">
      <c r="A12" s="1" t="s">
        <v>65</v>
      </c>
      <c r="B12">
        <v>200</v>
      </c>
      <c r="C12">
        <v>0.16</v>
      </c>
    </row>
    <row r="13" spans="1:3" x14ac:dyDescent="0.3">
      <c r="A13" s="1" t="s">
        <v>66</v>
      </c>
      <c r="B13">
        <v>194</v>
      </c>
      <c r="C13">
        <v>0.16</v>
      </c>
    </row>
    <row r="14" spans="1:3" x14ac:dyDescent="0.3">
      <c r="A14" s="1" t="s">
        <v>67</v>
      </c>
      <c r="B14">
        <v>190</v>
      </c>
      <c r="C14">
        <v>0.16</v>
      </c>
    </row>
    <row r="15" spans="1:3" x14ac:dyDescent="0.3">
      <c r="A15" s="1" t="s">
        <v>68</v>
      </c>
      <c r="B15">
        <v>190</v>
      </c>
      <c r="C15">
        <v>0.16</v>
      </c>
    </row>
    <row r="16" spans="1:3" x14ac:dyDescent="0.3">
      <c r="A16" s="1" t="s">
        <v>69</v>
      </c>
      <c r="B16">
        <v>185</v>
      </c>
      <c r="C16">
        <v>0.15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F13E3-448D-42C8-A89E-AF291F58C6D0}">
  <dimension ref="A1:D40"/>
  <sheetViews>
    <sheetView workbookViewId="0"/>
  </sheetViews>
  <sheetFormatPr defaultRowHeight="14.4" x14ac:dyDescent="0.3"/>
  <cols>
    <col min="1" max="1" width="27.109375" bestFit="1" customWidth="1"/>
    <col min="2" max="2" width="12.21875" bestFit="1" customWidth="1"/>
    <col min="3" max="3" width="7.109375" bestFit="1" customWidth="1"/>
    <col min="4" max="4" width="17.109375" bestFit="1" customWidth="1"/>
  </cols>
  <sheetData>
    <row r="1" spans="1:4" x14ac:dyDescent="0.3">
      <c r="A1" t="s">
        <v>0</v>
      </c>
      <c r="B1" t="s">
        <v>70</v>
      </c>
      <c r="C1" t="s">
        <v>71</v>
      </c>
      <c r="D1" t="s">
        <v>72</v>
      </c>
    </row>
    <row r="2" spans="1:4" x14ac:dyDescent="0.3">
      <c r="A2" s="1" t="s">
        <v>9</v>
      </c>
      <c r="B2" s="1" t="s">
        <v>73</v>
      </c>
      <c r="C2">
        <v>7484</v>
      </c>
      <c r="D2">
        <v>76.8</v>
      </c>
    </row>
    <row r="3" spans="1:4" x14ac:dyDescent="0.3">
      <c r="A3" s="1" t="s">
        <v>9</v>
      </c>
      <c r="B3" s="1" t="s">
        <v>74</v>
      </c>
      <c r="C3">
        <v>1377</v>
      </c>
      <c r="D3">
        <v>14.1</v>
      </c>
    </row>
    <row r="4" spans="1:4" x14ac:dyDescent="0.3">
      <c r="A4" s="1" t="s">
        <v>9</v>
      </c>
      <c r="B4" s="1" t="s">
        <v>75</v>
      </c>
      <c r="C4">
        <v>430</v>
      </c>
      <c r="D4">
        <v>4.4000000000000004</v>
      </c>
    </row>
    <row r="5" spans="1:4" x14ac:dyDescent="0.3">
      <c r="A5" s="1" t="s">
        <v>9</v>
      </c>
      <c r="B5" s="1" t="s">
        <v>76</v>
      </c>
      <c r="C5">
        <v>319</v>
      </c>
      <c r="D5">
        <v>3.3</v>
      </c>
    </row>
    <row r="6" spans="1:4" x14ac:dyDescent="0.3">
      <c r="A6" s="1" t="s">
        <v>9</v>
      </c>
      <c r="B6" s="1" t="s">
        <v>77</v>
      </c>
      <c r="C6">
        <v>121</v>
      </c>
      <c r="D6">
        <v>1.2</v>
      </c>
    </row>
    <row r="7" spans="1:4" x14ac:dyDescent="0.3">
      <c r="A7" s="1" t="s">
        <v>9</v>
      </c>
      <c r="B7" s="1" t="s">
        <v>78</v>
      </c>
      <c r="C7">
        <v>8</v>
      </c>
      <c r="D7">
        <v>0.1</v>
      </c>
    </row>
    <row r="8" spans="1:4" x14ac:dyDescent="0.3">
      <c r="A8" s="1" t="s">
        <v>9</v>
      </c>
      <c r="B8" s="1" t="s">
        <v>79</v>
      </c>
      <c r="C8">
        <v>4</v>
      </c>
      <c r="D8">
        <v>0</v>
      </c>
    </row>
    <row r="9" spans="1:4" x14ac:dyDescent="0.3">
      <c r="A9" s="1" t="s">
        <v>6</v>
      </c>
      <c r="B9" s="1" t="s">
        <v>73</v>
      </c>
      <c r="C9">
        <v>3502</v>
      </c>
      <c r="D9">
        <v>93.9</v>
      </c>
    </row>
    <row r="10" spans="1:4" x14ac:dyDescent="0.3">
      <c r="A10" s="1" t="s">
        <v>6</v>
      </c>
      <c r="B10" s="1" t="s">
        <v>74</v>
      </c>
      <c r="C10">
        <v>136</v>
      </c>
      <c r="D10">
        <v>3.6</v>
      </c>
    </row>
    <row r="11" spans="1:4" x14ac:dyDescent="0.3">
      <c r="A11" s="1" t="s">
        <v>6</v>
      </c>
      <c r="B11" s="1" t="s">
        <v>76</v>
      </c>
      <c r="C11">
        <v>65</v>
      </c>
      <c r="D11">
        <v>1.7</v>
      </c>
    </row>
    <row r="12" spans="1:4" x14ac:dyDescent="0.3">
      <c r="A12" s="1" t="s">
        <v>6</v>
      </c>
      <c r="B12" s="1" t="s">
        <v>77</v>
      </c>
      <c r="C12">
        <v>15</v>
      </c>
      <c r="D12">
        <v>0.4</v>
      </c>
    </row>
    <row r="13" spans="1:4" x14ac:dyDescent="0.3">
      <c r="A13" s="1" t="s">
        <v>6</v>
      </c>
      <c r="B13" s="1" t="s">
        <v>79</v>
      </c>
      <c r="C13">
        <v>7</v>
      </c>
      <c r="D13">
        <v>0.2</v>
      </c>
    </row>
    <row r="14" spans="1:4" x14ac:dyDescent="0.3">
      <c r="A14" s="1" t="s">
        <v>6</v>
      </c>
      <c r="B14" s="1" t="s">
        <v>78</v>
      </c>
      <c r="C14">
        <v>4</v>
      </c>
      <c r="D14">
        <v>0.1</v>
      </c>
    </row>
    <row r="15" spans="1:4" x14ac:dyDescent="0.3">
      <c r="A15" s="1" t="s">
        <v>10</v>
      </c>
      <c r="B15" s="1" t="s">
        <v>73</v>
      </c>
      <c r="C15">
        <v>29383</v>
      </c>
      <c r="D15">
        <v>80.099999999999994</v>
      </c>
    </row>
    <row r="16" spans="1:4" x14ac:dyDescent="0.3">
      <c r="A16" s="1" t="s">
        <v>10</v>
      </c>
      <c r="B16" s="1" t="s">
        <v>76</v>
      </c>
      <c r="C16">
        <v>4962</v>
      </c>
      <c r="D16">
        <v>13.5</v>
      </c>
    </row>
    <row r="17" spans="1:4" x14ac:dyDescent="0.3">
      <c r="A17" s="1" t="s">
        <v>10</v>
      </c>
      <c r="B17" s="1" t="s">
        <v>74</v>
      </c>
      <c r="C17">
        <v>1697</v>
      </c>
      <c r="D17">
        <v>4.5999999999999996</v>
      </c>
    </row>
    <row r="18" spans="1:4" x14ac:dyDescent="0.3">
      <c r="A18" s="1" t="s">
        <v>10</v>
      </c>
      <c r="B18" s="1" t="s">
        <v>77</v>
      </c>
      <c r="C18">
        <v>368</v>
      </c>
      <c r="D18">
        <v>1</v>
      </c>
    </row>
    <row r="19" spans="1:4" x14ac:dyDescent="0.3">
      <c r="A19" s="1" t="s">
        <v>10</v>
      </c>
      <c r="B19" s="1" t="s">
        <v>79</v>
      </c>
      <c r="C19">
        <v>182</v>
      </c>
      <c r="D19">
        <v>0.5</v>
      </c>
    </row>
    <row r="20" spans="1:4" x14ac:dyDescent="0.3">
      <c r="A20" s="1" t="s">
        <v>10</v>
      </c>
      <c r="B20" s="1" t="s">
        <v>78</v>
      </c>
      <c r="C20">
        <v>83</v>
      </c>
      <c r="D20">
        <v>0.2</v>
      </c>
    </row>
    <row r="21" spans="1:4" x14ac:dyDescent="0.3">
      <c r="A21" s="1" t="s">
        <v>10</v>
      </c>
      <c r="B21" s="1" t="s">
        <v>75</v>
      </c>
      <c r="C21">
        <v>6</v>
      </c>
      <c r="D21">
        <v>0</v>
      </c>
    </row>
    <row r="22" spans="1:4" x14ac:dyDescent="0.3">
      <c r="A22" s="1" t="s">
        <v>5</v>
      </c>
      <c r="B22" s="1" t="s">
        <v>73</v>
      </c>
      <c r="C22">
        <v>1114</v>
      </c>
      <c r="D22">
        <v>91.8</v>
      </c>
    </row>
    <row r="23" spans="1:4" x14ac:dyDescent="0.3">
      <c r="A23" s="1" t="s">
        <v>5</v>
      </c>
      <c r="B23" s="1" t="s">
        <v>74</v>
      </c>
      <c r="C23">
        <v>46</v>
      </c>
      <c r="D23">
        <v>3.8</v>
      </c>
    </row>
    <row r="24" spans="1:4" x14ac:dyDescent="0.3">
      <c r="A24" s="1" t="s">
        <v>5</v>
      </c>
      <c r="B24" s="1" t="s">
        <v>76</v>
      </c>
      <c r="C24">
        <v>34</v>
      </c>
      <c r="D24">
        <v>2.8</v>
      </c>
    </row>
    <row r="25" spans="1:4" x14ac:dyDescent="0.3">
      <c r="A25" s="1" t="s">
        <v>5</v>
      </c>
      <c r="B25" s="1" t="s">
        <v>77</v>
      </c>
      <c r="C25">
        <v>9</v>
      </c>
      <c r="D25">
        <v>0.7</v>
      </c>
    </row>
    <row r="26" spans="1:4" x14ac:dyDescent="0.3">
      <c r="A26" s="1" t="s">
        <v>5</v>
      </c>
      <c r="B26" s="1" t="s">
        <v>79</v>
      </c>
      <c r="C26">
        <v>7</v>
      </c>
      <c r="D26">
        <v>0.6</v>
      </c>
    </row>
    <row r="27" spans="1:4" x14ac:dyDescent="0.3">
      <c r="A27" s="1" t="s">
        <v>5</v>
      </c>
      <c r="B27" s="1" t="s">
        <v>75</v>
      </c>
      <c r="C27">
        <v>3</v>
      </c>
      <c r="D27">
        <v>0.2</v>
      </c>
    </row>
    <row r="28" spans="1:4" x14ac:dyDescent="0.3">
      <c r="A28" s="1" t="s">
        <v>11</v>
      </c>
      <c r="B28" s="1" t="s">
        <v>73</v>
      </c>
      <c r="C28">
        <v>772</v>
      </c>
      <c r="D28">
        <v>53.3</v>
      </c>
    </row>
    <row r="29" spans="1:4" x14ac:dyDescent="0.3">
      <c r="A29" s="1" t="s">
        <v>11</v>
      </c>
      <c r="B29" s="1" t="s">
        <v>78</v>
      </c>
      <c r="C29">
        <v>493</v>
      </c>
      <c r="D29">
        <v>34</v>
      </c>
    </row>
    <row r="30" spans="1:4" x14ac:dyDescent="0.3">
      <c r="A30" s="1" t="s">
        <v>11</v>
      </c>
      <c r="B30" s="1" t="s">
        <v>76</v>
      </c>
      <c r="C30">
        <v>139</v>
      </c>
      <c r="D30">
        <v>9.6</v>
      </c>
    </row>
    <row r="31" spans="1:4" x14ac:dyDescent="0.3">
      <c r="A31" s="1" t="s">
        <v>11</v>
      </c>
      <c r="B31" s="1" t="s">
        <v>77</v>
      </c>
      <c r="C31">
        <v>33</v>
      </c>
      <c r="D31">
        <v>2.2999999999999998</v>
      </c>
    </row>
    <row r="32" spans="1:4" x14ac:dyDescent="0.3">
      <c r="A32" s="1" t="s">
        <v>11</v>
      </c>
      <c r="B32" s="1" t="s">
        <v>74</v>
      </c>
      <c r="C32">
        <v>6</v>
      </c>
      <c r="D32">
        <v>0.4</v>
      </c>
    </row>
    <row r="33" spans="1:4" x14ac:dyDescent="0.3">
      <c r="A33" s="1" t="s">
        <v>11</v>
      </c>
      <c r="B33" s="1" t="s">
        <v>79</v>
      </c>
      <c r="C33">
        <v>6</v>
      </c>
      <c r="D33">
        <v>0.4</v>
      </c>
    </row>
    <row r="34" spans="1:4" x14ac:dyDescent="0.3">
      <c r="A34" s="1" t="s">
        <v>7</v>
      </c>
      <c r="B34" s="1" t="s">
        <v>73</v>
      </c>
      <c r="C34">
        <v>33443</v>
      </c>
      <c r="D34">
        <v>80.8</v>
      </c>
    </row>
    <row r="35" spans="1:4" x14ac:dyDescent="0.3">
      <c r="A35" s="1" t="s">
        <v>7</v>
      </c>
      <c r="B35" s="1" t="s">
        <v>74</v>
      </c>
      <c r="C35">
        <v>5125</v>
      </c>
      <c r="D35">
        <v>12.4</v>
      </c>
    </row>
    <row r="36" spans="1:4" x14ac:dyDescent="0.3">
      <c r="A36" s="1" t="s">
        <v>7</v>
      </c>
      <c r="B36" s="1" t="s">
        <v>76</v>
      </c>
      <c r="C36">
        <v>2152</v>
      </c>
      <c r="D36">
        <v>5.2</v>
      </c>
    </row>
    <row r="37" spans="1:4" x14ac:dyDescent="0.3">
      <c r="A37" s="1" t="s">
        <v>7</v>
      </c>
      <c r="B37" s="1" t="s">
        <v>77</v>
      </c>
      <c r="C37">
        <v>417</v>
      </c>
      <c r="D37">
        <v>1</v>
      </c>
    </row>
    <row r="38" spans="1:4" x14ac:dyDescent="0.3">
      <c r="A38" s="1" t="s">
        <v>7</v>
      </c>
      <c r="B38" s="1" t="s">
        <v>79</v>
      </c>
      <c r="C38">
        <v>134</v>
      </c>
      <c r="D38">
        <v>0.3</v>
      </c>
    </row>
    <row r="39" spans="1:4" x14ac:dyDescent="0.3">
      <c r="A39" s="1" t="s">
        <v>7</v>
      </c>
      <c r="B39" s="1" t="s">
        <v>78</v>
      </c>
      <c r="C39">
        <v>49</v>
      </c>
      <c r="D39">
        <v>0.1</v>
      </c>
    </row>
    <row r="40" spans="1:4" x14ac:dyDescent="0.3">
      <c r="A40" s="1" t="s">
        <v>7</v>
      </c>
      <c r="B40" s="1" t="s">
        <v>75</v>
      </c>
      <c r="C40">
        <v>47</v>
      </c>
      <c r="D40">
        <v>0.1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015B0-E862-4F16-B8A0-7BB0CD8DD7BC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C9582FA-5732-4F06-95E2-9105F7BCF36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</vt:lpstr>
      <vt:lpstr>Pivot_Salary</vt:lpstr>
      <vt:lpstr>salary_by_experience</vt:lpstr>
      <vt:lpstr>salary_by_location</vt:lpstr>
      <vt:lpstr>Pivot_Companies</vt:lpstr>
      <vt:lpstr>top_companies</vt:lpstr>
      <vt:lpstr>top_job_titles</vt:lpstr>
      <vt:lpstr>worktype_by_experience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Vardhini Nandi</dc:creator>
  <cp:lastModifiedBy>Vardhini Nandi</cp:lastModifiedBy>
  <dcterms:created xsi:type="dcterms:W3CDTF">2026-06-11T07:50:13Z</dcterms:created>
  <dcterms:modified xsi:type="dcterms:W3CDTF">2026-06-11T08:29:35Z</dcterms:modified>
</cp:coreProperties>
</file>